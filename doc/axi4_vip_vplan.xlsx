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b2f8c690f948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fe83d64432741b1"/>
    <x:sheet xmlns:r="http://schemas.openxmlformats.org/officeDocument/2006/relationships" name="Traceability" sheetId="2" r:id="R0d521b97221f476c"/>
    <x:sheet xmlns:r="http://schemas.openxmlformats.org/officeDocument/2006/relationships" name="Tests" sheetId="3" r:id="Rf4477a41a48d45c2"/>
    <x:sheet xmlns:r="http://schemas.openxmlformats.org/officeDocument/2006/relationships" name="Changes" sheetId="4" r:id="R55097ad0cc9e4e8d"/>
    <x:sheet xmlns:r="http://schemas.openxmlformats.org/officeDocument/2006/relationships" name="Waivers" sheetId="5" r:id="Rf420860f9cdd4a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203864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2F3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</x:fills>
  <x:borders count="24">
    <x:border/>
    <x:border/>
    <x:border>
      <x:left/>
      <x:right/>
      <x:top/>
    </x:border>
    <x:border>
      <x:left/>
      <x:right/>
    </x:border>
    <x:border>
      <x:left/>
      <x:right/>
      <x:bottom/>
    </x:border>
    <x:border>
      <x:left/>
      <x:right/>
      <x:top/>
    </x:border>
    <x:border>
      <x:left/>
      <x:right/>
    </x:border>
    <x:border>
      <x:left/>
      <x:right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top/>
    </x:border>
    <x:border>
      <x:bottom/>
    </x:border>
    <x:border>
      <x:top/>
    </x:border>
    <x:border>
      <x:bottom/>
    </x:border>
  </x:borders>
  <x:cellStyleXfs count="1">
    <x:xf numFmtId="0" fontId="0" fillId="0" borderId="0"/>
  </x:cellStyleXfs>
  <x:cellXfs count="1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6" borderId="8" xfId="0" applyNumberFormat="1" applyFont="1" applyFill="1" applyBorder="1" applyAlignment="1">
      <x:alignment vertical="top" wrapText="1"/>
    </x:xf>
    <x:xf numFmtId="0" fontId="0" fillId="6" borderId="14" xfId="0" applyNumberFormat="1" applyFont="1" applyFill="1" applyBorder="1" applyAlignment="1">
      <x:alignment vertical="top" wrapText="1"/>
    </x:xf>
    <x:xf numFmtId="0" fontId="0" fillId="7" borderId="10" xfId="0" applyNumberFormat="1" applyFont="1" applyFill="1" applyBorder="1" applyAlignment="1">
      <x:alignment vertical="top" wrapText="1"/>
    </x:xf>
    <x:xf numFmtId="0" fontId="0" fillId="7" borderId="16" xfId="0" applyNumberFormat="1" applyFont="1" applyFill="1" applyBorder="1" applyAlignment="1">
      <x:alignment vertical="top" wrapText="1"/>
    </x:xf>
    <x:xf numFmtId="0" fontId="0" fillId="8" borderId="10" xfId="0" applyNumberFormat="1" applyFont="1" applyFill="1" applyBorder="1" applyAlignment="1">
      <x:alignment vertical="top" wrapText="1"/>
    </x:xf>
    <x:xf numFmtId="0" fontId="0" fillId="8" borderId="16" xfId="0" applyNumberFormat="1" applyFont="1" applyFill="1" applyBorder="1" applyAlignment="1">
      <x:alignment vertical="top" wrapText="1"/>
    </x:xf>
    <x:xf numFmtId="0" fontId="0" fillId="9" borderId="12" xfId="0" applyNumberFormat="1" applyFont="1" applyFill="1" applyBorder="1" applyAlignment="1">
      <x:alignment vertical="top" wrapText="1"/>
    </x:xf>
    <x:xf numFmtId="0" fontId="0" fillId="9" borderId="18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/>
    <x:xf numFmtId="0" fontId="0" fillId="0" borderId="0" xfId="0" applyNumberFormat="1" applyFont="1" applyFill="1" applyBorder="1"/>
    <x:xf numFmtId="0" fontId="0" fillId="0" borderId="21" xfId="0" applyNumberFormat="1" applyFont="1" applyFill="1" applyBorder="1"/>
    <x:xf numFmtId="0" fontId="0" fillId="0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2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375623"/>
      </x:font>
      <x:fill>
        <x:patternFill patternType="solid">
          <x:bgColor rgb="FFC6E0B4"/>
        </x:patternFill>
      </x:fill>
    </x:dxf>
    <x:dxf>
      <x:font>
        <x:color rgb="FF1F4E78"/>
      </x:font>
      <x:fill>
        <x:patternFill patternType="solid">
          <x:bgColor rgb="FFDDEBF7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c4cc2443ef4f33" /><Relationship Type="http://schemas.openxmlformats.org/officeDocument/2006/relationships/theme" Target="/xl/theme/theme1.xml" Id="R69f76e006bb74a32" /><Relationship Type="http://schemas.openxmlformats.org/officeDocument/2006/relationships/sharedStrings" Target="/xl/sharedStrings.xml" Id="R439ae14bfcf54fa3" /><Relationship Type="http://schemas.openxmlformats.org/officeDocument/2006/relationships/worksheet" Target="/xl/worksheets/sheet1.xml" Id="R0fe83d64432741b1" /><Relationship Type="http://schemas.openxmlformats.org/officeDocument/2006/relationships/worksheet" Target="/xl/worksheets/sheet2.xml" Id="R0d521b97221f476c" /><Relationship Type="http://schemas.openxmlformats.org/officeDocument/2006/relationships/worksheet" Target="/xl/worksheets/sheet3.xml" Id="Rf4477a41a48d45c2" /><Relationship Type="http://schemas.openxmlformats.org/officeDocument/2006/relationships/worksheet" Target="/xl/worksheets/sheet4.xml" Id="R55097ad0cc9e4e8d" /><Relationship Type="http://schemas.openxmlformats.org/officeDocument/2006/relationships/worksheet" Target="/xl/worksheets/sheet5.xml" Id="Rf420860f9cdd4a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e829d9799a847a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Requirement status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'Dashboard'!$J$3:$J$7</c:f>
              <c:strCache>
                <c:ptCount val="0"/>
              </c:strCache>
            </c:strRef>
          </c:cat>
          <c:val>
            <c:numRef>
              <c:f>'Dashboard'!$K$3:$K$7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829d9799a847a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raceabilityTable" displayName="TraceabilityTable" ref="A1:I27" headerRowCount="1">
  <x:tableColumns count="9">
    <x:tableColumn id="1" name="VPlan ID"/>
    <x:tableColumn id="2" name="Arm section"/>
    <x:tableColumn id="3" name="Rule / feature"/>
    <x:tableColumn id="4" name="Implementation / checker"/>
    <x:tableColumn id="5" name="Positive test(s)"/>
    <x:tableColumn id="6" name="Negative evidence"/>
    <x:tableColumn id="7" name="Status"/>
    <x:tableColumn id="8" name="Owner / marker"/>
    <x:tableColumn id="9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estsTable" displayName="TestsTable" ref="A1:G29" headerRowCount="1">
  <x:tableColumns count="7">
    <x:tableColumn id="1" name="Test"/>
    <x:tableColumn id="2" name="Category"/>
    <x:tableColumn id="3" name="Lane"/>
    <x:tableColumn id="4" name="Default regression"/>
    <x:tableColumn id="5" name="Primary purpose"/>
    <x:tableColumn id="6" name="Key expected result"/>
    <x:tableColumn id="7" name="Owner / marker"/>
  </x:tableColumns>
  <x:tableStyleInfo name="TableStyleMedium2" showRowStripes="1"/>
</x:table>
</file>

<file path=xl/tables/table3.xml><?xml version="1.0" encoding="utf-8"?>
<x:table xmlns:x="http://schemas.openxmlformats.org/spreadsheetml/2006/main" id="3" name="ChangesTable" displayName="ChangesTable" ref="A1:E19" headerRowCount="1">
  <x:tableColumns count="5">
    <x:tableColumn id="1" name="File / area"/>
    <x:tableColumn id="2" name="Huy Le baseline"/>
    <x:tableColumn id="3" name="Hoang Ho contribution"/>
    <x:tableColumn id="4" name="Marker"/>
    <x:tableColumn id="5" name="Compatibility / rationale"/>
  </x:tableColumns>
  <x:tableStyleInfo name="TableStyleMedium2" showRowStripes="1"/>
</x:table>
</file>

<file path=xl/tables/table4.xml><?xml version="1.0" encoding="utf-8"?>
<x:table xmlns:x="http://schemas.openxmlformats.org/spreadsheetml/2006/main" id="4" name="WaiversTable" displayName="WaiversTable" ref="A1:F11" headerRowCount="1">
  <x:tableColumns count="6">
    <x:tableColumn id="1" name="Item"/>
    <x:tableColumn id="2" name="Profile status"/>
    <x:tableColumn id="3" name="Default"/>
    <x:tableColumn id="4" name="Reason / boundary"/>
    <x:tableColumn id="5" name="Verification treatment"/>
    <x:tableColumn id="6" name="Sign-off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774d7f53c5745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3ebc7653a264a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b81e1f603241b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905bcf326c9400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5f398bbbaa64d7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8" hidden="0" customWidth="1"/>
    <x:col min="3" max="3" width="3" hidden="0" customWidth="1"/>
    <x:col min="4" max="4" width="28" hidden="0" customWidth="1"/>
    <x:col min="5" max="5" width="16" hidden="0" customWidth="1"/>
    <x:col min="6" max="6" width="3" hidden="0" customWidth="1"/>
    <x:col min="7" max="7" width="28" hidden="0" customWidth="1"/>
    <x:col min="8" max="8" width="30" hidden="0" customWidth="1"/>
    <x:col min="10" max="10" width="24" hidden="0" customWidth="1"/>
    <x:col min="11" max="11" width="12" hidden="0" customWidth="1"/>
  </x:cols>
  <x:sheetData>
    <x:row r="1" ht="26" customHeight="1">
      <x:c r="A1" s="5" t="str">
        <x:v>AXI4 Full Learning VIP - Verification Dashboard</x:v>
      </x:c>
      <x:c r="B1" s="5"/>
      <x:c r="C1" s="5"/>
      <x:c r="D1" s="5"/>
      <x:c r="E1" s="5"/>
      <x:c r="F1" s="5"/>
      <x:c r="G1" s="5"/>
      <x:c r="H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J2" s="48" t="str">
        <x:v>Status</x:v>
      </x:c>
      <x:c r="K2" s="48" t="str">
        <x:v>Count</x:v>
      </x:c>
    </x:row>
    <x:row r="3">
      <x:c r="J3" t="str">
        <x:v>Implemented</x:v>
      </x:c>
      <x:c r="K3" t="n">
        <x:f>COUNTIF(Traceability!G:G,J3)</x:f>
        <x:v>3</x:v>
      </x:c>
    </x:row>
    <x:row r="4">
      <x:c r="A4" s="13" t="str">
        <x:v>Project</x:v>
      </x:c>
      <x:c r="B4" s="24" t="str">
        <x:v>legiahuy15/AXI4-VIP + Hoang Ho functional fixes</x:v>
      </x:c>
      <x:c r="D4" s="40" t="str">
        <x:v>Closure snapshot</x:v>
      </x:c>
      <x:c r="E4" s="40"/>
      <x:c r="F4" s="40"/>
      <x:c r="G4" s="40"/>
      <x:c r="H4" s="40"/>
      <x:c r="J4" t="str">
        <x:v>Corrected</x:v>
      </x:c>
      <x:c r="K4" t="n">
        <x:f>COUNTIF(Traceability!G:G,J4)</x:f>
        <x:v>13</x:v>
      </x:c>
    </x:row>
    <x:row r="5">
      <x:c r="A5" s="13" t="str">
        <x:v>Profile</x:v>
      </x:c>
      <x:c r="B5" s="25" t="str">
        <x:v>AXI4 Full memory-mapped, learning VIP-to-VIP</x:v>
      </x:c>
      <x:c r="D5" s="48" t="str">
        <x:v>Metric</x:v>
      </x:c>
      <x:c r="E5" s="48" t="str">
        <x:v>Value</x:v>
      </x:c>
      <x:c r="G5" s="48" t="str">
        <x:v>Gate</x:v>
      </x:c>
      <x:c r="H5" s="48" t="str">
        <x:v>Target</x:v>
      </x:c>
      <x:c r="J5" t="str">
        <x:v>Implemented/improved</x:v>
      </x:c>
      <x:c r="K5" t="n">
        <x:f>COUNTIF(Traceability!G:G,J5)</x:f>
        <x:v>8</x:v>
      </x:c>
    </x:row>
    <x:row r="6">
      <x:c r="A6" s="13" t="str">
        <x:v>Reference</x:v>
      </x:c>
      <x:c r="B6" s="25" t="str">
        <x:v>Arm AMBA AXI and ACE Protocol Specification, IHI 0022H.c</x:v>
      </x:c>
      <x:c r="D6" s="66" t="str">
        <x:v>Traceability requirements</x:v>
      </x:c>
      <x:c r="E6" s="67" t="n">
        <x:f>COUNTA(Traceability!A2:A200)</x:f>
        <x:v>26</x:v>
      </x:c>
      <x:c r="G6" s="66" t="str">
        <x:v>Compile</x:v>
      </x:c>
      <x:c r="H6" s="67" t="str">
        <x:v>0 errors, 0 warnings</x:v>
      </x:c>
      <x:c r="J6" t="str">
        <x:v>Default/pass-through</x:v>
      </x:c>
      <x:c r="K6" t="n">
        <x:f>COUNTIF(Traceability!G:G,J6)</x:f>
        <x:v>1</x:v>
      </x:c>
    </x:row>
    <x:row r="7">
      <x:c r="A7" s="13" t="str">
        <x:v>Default widths</x:v>
      </x:c>
      <x:c r="B7" s="25" t="str">
        <x:v>ADDR=32, DATA=32, ID=4</x:v>
      </x:c>
      <x:c r="D7" s="68" t="str">
        <x:v>Implemented/corrected</x:v>
      </x:c>
      <x:c r="E7" s="69" t="n">
        <x:f>COUNTIF(Traceability!G2:G200,"Implemented")+COUNTIF(Traceability!G2:G200,"Corrected")+COUNTIF(Traceability!G2:G200,"Implemented/improved")</x:f>
        <x:v>24</x:v>
      </x:c>
      <x:c r="G7" s="68" t="str">
        <x:v>spec_smoke</x:v>
      </x:c>
      <x:c r="H7" s="69" t="str">
        <x:v>100% pass</x:v>
      </x:c>
      <x:c r="J7" t="str">
        <x:v>Declared behavior</x:v>
      </x:c>
      <x:c r="K7" t="n">
        <x:f>COUNTIF(Traceability!G:G,J7)</x:f>
        <x:v>1</x:v>
      </x:c>
    </x:row>
    <x:row r="8">
      <x:c r="A8" s="13" t="str">
        <x:v>Optional attributes</x:v>
      </x:c>
      <x:c r="B8" s="25" t="str">
        <x:v>Pass-through/default: CACHE, PROT, QOS, REGION</x:v>
      </x:c>
      <x:c r="D8" s="68" t="str">
        <x:v>Default/pass-through</x:v>
      </x:c>
      <x:c r="E8" s="69" t="n">
        <x:f>COUNTIF(Traceability!G2:G200,"Default/pass-through")+COUNTIF(Traceability!G2:G200,"Declared behavior")</x:f>
        <x:v>2</x:v>
      </x:c>
      <x:c r="G8" s="68" t="str">
        <x:v>Positive regression</x:v>
      </x:c>
      <x:c r="H8" s="69" t="str">
        <x:v>100% pass</x:v>
      </x:c>
    </x:row>
    <x:row r="9">
      <x:c r="A9" s="13" t="str">
        <x:v>Contribution marker</x:v>
      </x:c>
      <x:c r="B9" s="25" t="str">
        <x:v>//Hoang Ho</x:v>
      </x:c>
      <x:c r="D9" s="70" t="str">
        <x:v>Declared waivers/limits</x:v>
      </x:c>
      <x:c r="E9" s="71" t="n">
        <x:f>COUNTA(Waivers!A2:A100)</x:f>
        <x:v>10</x:v>
      </x:c>
      <x:c r="G9" s="68" t="str">
        <x:v>Unexpected UVM errors/fatals</x:v>
      </x:c>
      <x:c r="H9" s="69" t="str">
        <x:v>0</x:v>
      </x:c>
    </x:row>
    <x:row r="10">
      <x:c r="A10" s="13" t="str">
        <x:v>Generated</x:v>
      </x:c>
      <x:c r="B10" s="36" t="n">
        <x:v>46215</x:v>
      </x:c>
      <x:c r="G10" s="70" t="str">
        <x:v>Core functional coverage</x:v>
      </x:c>
      <x:c r="H10" s="71" t="str">
        <x:v>&gt;= 90%, misses reviewed</x:v>
      </x:c>
    </x:row>
    <x:row r="12">
      <x:c r="A12" s="40" t="str">
        <x:v>Status definition</x:v>
      </x:c>
      <x:c r="B12" s="40"/>
      <x:c r="C12" s="40"/>
      <x:c r="D12" s="40"/>
      <x:c r="E12" s="40"/>
      <x:c r="F12" s="40"/>
      <x:c r="G12" s="40"/>
      <x:c r="H12" s="40"/>
    </x:row>
    <x:row r="13">
      <x:c r="A13" s="48" t="str">
        <x:v>Status</x:v>
      </x:c>
      <x:c r="B13" s="48" t="str">
        <x:v>Meaning</x:v>
      </x:c>
    </x:row>
    <x:row r="14">
      <x:c r="A14" s="90" t="str">
        <x:v>Implemented</x:v>
      </x:c>
      <x:c r="B14" s="67" t="str">
        <x:v>Existing Huy Le behavior retained and checked.</x:v>
      </x:c>
    </x:row>
    <x:row r="15">
      <x:c r="A15" s="92" t="str">
        <x:v>Corrected</x:v>
      </x:c>
      <x:c r="B15" s="69" t="str">
        <x:v>Hoang Ho changed core behavior to match the Arm functional rule.</x:v>
      </x:c>
    </x:row>
    <x:row r="16">
      <x:c r="A16" s="94" t="str">
        <x:v>Default/pass-through</x:v>
      </x:c>
      <x:c r="B16" s="69" t="str">
        <x:v>Optional field is transported/stable/covered; no system-level semantics.</x:v>
      </x:c>
    </x:row>
    <x:row r="17">
      <x:c r="A17" s="96" t="str">
        <x:v>Declared behavior</x:v>
      </x:c>
      <x:c r="B17" s="71" t="str">
        <x:v>Legal optional capability accepted or intentionally not generated by default.</x:v>
      </x:c>
    </x:row>
    <x:row r="20">
      <x:c r="A20" s="40" t="str">
        <x:v>Source references</x:v>
      </x:c>
      <x:c r="B20" s="40"/>
      <x:c r="C20" s="40"/>
      <x:c r="D20" s="40"/>
      <x:c r="E20" s="40"/>
      <x:c r="F20" s="40"/>
      <x:c r="G20" s="40"/>
      <x:c r="H20" s="40"/>
    </x:row>
    <x:row r="21">
      <x:c r="A21" s="13" t="str">
        <x:v>Original repository</x:v>
      </x:c>
      <x:c r="B21" s="24" t="str">
        <x:v>https://github.com/legiahuy15/AXI4-VIP</x:v>
      </x:c>
    </x:row>
    <x:row r="22">
      <x:c r="A22" s="13" t="str">
        <x:v>Arm specification</x:v>
      </x:c>
      <x:c r="B22" s="25" t="str">
        <x:v>https://developer.arm.com/documentation/ihi0022/hc/</x:v>
      </x:c>
    </x:row>
    <x:row r="23">
      <x:c r="A23" s="13" t="str">
        <x:v>User study notes</x:v>
      </x:c>
      <x:c r="B23" s="26" t="str">
        <x:v>Pasted markdown: AXI4 Full Specification Notes for UVM VIP Development</x:v>
      </x:c>
    </x:row>
  </x:sheetData>
  <x:mergeCells>
    <x:mergeCell ref="A1:H2"/>
    <x:mergeCell ref="D4:H4"/>
    <x:mergeCell ref="A12:H12"/>
    <x:mergeCell ref="A20:H20"/>
  </x:mergeCells>
  <x:pageMargins left="0.7" right="0.7" top="0.75" bottom="0.75" header="0.3" footer="0.3"/>
  <x:drawing xmlns:r="http://schemas.openxmlformats.org/officeDocument/2006/relationships" r:id="Rb774d7f53c574572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38" hidden="0" customWidth="1"/>
    <x:col min="4" max="4" width="40" hidden="0" customWidth="1"/>
    <x:col min="5" max="5" width="34" hidden="0" customWidth="1"/>
    <x:col min="6" max="6" width="32" hidden="0" customWidth="1"/>
    <x:col min="7" max="7" width="22" hidden="0" customWidth="1"/>
    <x:col min="8" max="8" width="24" hidden="0" customWidth="1"/>
    <x:col min="9" max="9" width="42" hidden="0" customWidth="1"/>
  </x:cols>
  <x:sheetData>
    <x:row r="1" ht="34" customHeight="1">
      <x:c r="A1" s="48" t="str">
        <x:v>VPlan ID</x:v>
      </x:c>
      <x:c r="B1" s="48" t="str">
        <x:v>Arm section</x:v>
      </x:c>
      <x:c r="C1" s="48" t="str">
        <x:v>Rule / feature</x:v>
      </x:c>
      <x:c r="D1" s="48" t="str">
        <x:v>Implementation / checker</x:v>
      </x:c>
      <x:c r="E1" s="48" t="str">
        <x:v>Positive test(s)</x:v>
      </x:c>
      <x:c r="F1" s="48" t="str">
        <x:v>Negative evidence</x:v>
      </x:c>
      <x:c r="G1" s="48" t="str">
        <x:v>Status</x:v>
      </x:c>
      <x:c r="H1" s="48" t="str">
        <x:v>Owner / marker</x:v>
      </x:c>
      <x:c r="I1" s="48" t="str">
        <x:v>Notes</x:v>
      </x:c>
    </x:row>
    <x:row r="2">
      <x:c r="A2" s="66" t="str">
        <x:v>VP-RST-01</x:v>
      </x:c>
      <x:c r="B2" s="104" t="str">
        <x:v>A3.1</x:v>
      </x:c>
      <x:c r="C2" s="104" t="str">
        <x:v>ARESETn active-low; source VALID outputs low during reset</x:v>
      </x:c>
      <x:c r="D2" s="104" t="str">
        <x:v>Driver reset paths + reset SVA + state cleanup</x:v>
      </x:c>
      <x:c r="E2" s="104" t="str">
        <x:v>axi4_reset_mid_burst_test</x:v>
      </x:c>
      <x:c r="F2" s="104" t="str">
        <x:v>Reset assertions</x:v>
      </x:c>
      <x:c r="G2" s="104" t="str">
        <x:v>Implemented/improved</x:v>
      </x:c>
      <x:c r="H2" s="104" t="str">
        <x:v>Huy Le + //Hoang Ho</x:v>
      </x:c>
      <x:c r="I2" s="67" t="str">
        <x:v>Asynchronous assertion; synchronous release expected from tb_top</x:v>
      </x:c>
    </x:row>
    <x:row r="3">
      <x:c r="A3" s="68" t="str">
        <x:v>VP-HS-01</x:v>
      </x:c>
      <x:c r="B3" s="105" t="str">
        <x:v>A3.2.1</x:v>
      </x:c>
      <x:c r="C3" s="105" t="str">
        <x:v>Transfer only on VALID &amp;&amp; READY</x:v>
      </x:c>
      <x:c r="D3" s="105" t="str">
        <x:v>All drivers and monitors sample handshakes</x:v>
      </x:c>
      <x:c r="E3" s="105" t="str">
        <x:v>axi4_sanity_test; axi4_backpressure_test</x:v>
      </x:c>
      <x:c r="F3" s="105" t="str">
        <x:v>SVA handshake/stability properties</x:v>
      </x:c>
      <x:c r="G3" s="105" t="str">
        <x:v>Implemented</x:v>
      </x:c>
      <x:c r="H3" s="105" t="str">
        <x:v>Huy Le</x:v>
      </x:c>
      <x:c r="I3" s="69" t="str">
        <x:v>Five independent channels</x:v>
      </x:c>
    </x:row>
    <x:row r="4">
      <x:c r="A4" s="68" t="str">
        <x:v>VP-HS-02</x:v>
      </x:c>
      <x:c r="B4" s="105" t="str">
        <x:v>A3.2.1</x:v>
      </x:c>
      <x:c r="C4" s="105" t="str">
        <x:v>Source does not wait for READY before asserting VALID</x:v>
      </x:c>
      <x:c r="D4" s="105" t="str">
        <x:v>Master/slave source tasks + SVA</x:v>
      </x:c>
      <x:c r="E4" s="105" t="str">
        <x:v>axi4_backpressure_test; axi4_response_backpressure_test</x:v>
      </x:c>
      <x:c r="F4" s="105" t="str">
        <x:v>Injected source violation via SVA unit lane</x:v>
      </x:c>
      <x:c r="G4" s="105" t="str">
        <x:v>Implemented/improved</x:v>
      </x:c>
      <x:c r="H4" s="105" t="str">
        <x:v>Huy Le + //Hoang Ho</x:v>
      </x:c>
      <x:c r="I4" s="69" t="str">
        <x:v>READY may precede or follow VALID</x:v>
      </x:c>
    </x:row>
    <x:row r="5">
      <x:c r="A5" s="68" t="str">
        <x:v>VP-HS-03</x:v>
      </x:c>
      <x:c r="B5" s="105" t="str">
        <x:v>A3.2.1-A3.2.2</x:v>
      </x:c>
      <x:c r="C5" s="105" t="str">
        <x:v>VALID and payload remain stable while stalled</x:v>
      </x:c>
      <x:c r="D5" s="105" t="str">
        <x:v>AW/W/B/AR/R payload-stability assertions</x:v>
      </x:c>
      <x:c r="E5" s="105" t="str">
        <x:v>Both backpressure tests</x:v>
      </x:c>
      <x:c r="F5" s="105" t="str">
        <x:v>Intentional SVA violation lane</x:v>
      </x:c>
      <x:c r="G5" s="105" t="str">
        <x:v>Corrected</x:v>
      </x:c>
      <x:c r="H5" s="105" t="str">
        <x:v>//Hoang Ho</x:v>
      </x:c>
      <x:c r="I5" s="69" t="str">
        <x:v>First stall cycle included</x:v>
      </x:c>
    </x:row>
    <x:row r="6">
      <x:c r="A6" s="68" t="str">
        <x:v>VP-WR-01</x:v>
      </x:c>
      <x:c r="B6" s="105" t="str">
        <x:v>A3.3</x:v>
      </x:c>
      <x:c r="C6" s="105" t="str">
        <x:v>AW and W channels are independent; W-before-AW is legal</x:v>
      </x:c>
      <x:c r="D6" s="105" t="str">
        <x:v>wr_order modes + subordinate buffering</x:v>
      </x:c>
      <x:c r="E6" s="105" t="str">
        <x:v>axi4_wr_order_demo_test; axi4_wlast_before_aw_test</x:v>
      </x:c>
      <x:c r="F6" s="105" t="str">
        <x:v>SVA unit W-before-AW phase</x:v>
      </x:c>
      <x:c r="G6" s="105" t="str">
        <x:v>Implemented/improved</x:v>
      </x:c>
      <x:c r="H6" s="105" t="str">
        <x:v>Huy Le + //Hoang Ho</x:v>
      </x:c>
      <x:c r="I6" s="69" t="str">
        <x:v>No WID in AXI4</x:v>
      </x:c>
    </x:row>
    <x:row r="7">
      <x:c r="A7" s="68" t="str">
        <x:v>VP-WR-02</x:v>
      </x:c>
      <x:c r="B7" s="105" t="str">
        <x:v>A3.3.1</x:v>
      </x:c>
      <x:c r="C7" s="105" t="str">
        <x:v>BVALID only after AW handshake and final W handshake</x:v>
      </x:c>
      <x:c r="D7" s="105" t="str">
        <x:v>Transaction-aware eligible write tracker</x:v>
      </x:c>
      <x:c r="E7" s="105" t="str">
        <x:v>sanity; outstanding; backpressure</x:v>
      </x:c>
      <x:c r="F7" s="105" t="str">
        <x:v>Premature BVALID/BID checker</x:v>
      </x:c>
      <x:c r="G7" s="105" t="str">
        <x:v>Corrected</x:v>
      </x:c>
      <x:c r="H7" s="105" t="str">
        <x:v>//Hoang Ho</x:v>
      </x:c>
      <x:c r="I7" s="69" t="str">
        <x:v>BID checked against eligible transaction</x:v>
      </x:c>
    </x:row>
    <x:row r="8">
      <x:c r="A8" s="68" t="str">
        <x:v>VP-WR-03</x:v>
      </x:c>
      <x:c r="B8" s="105" t="str">
        <x:v>A3.2.2</x:v>
      </x:c>
      <x:c r="C8" s="105" t="str">
        <x:v>Continuous WREADY accepts exactly one new W beat per cycle</x:v>
      </x:c>
      <x:c r="D8" s="105" t="str">
        <x:v>Corrected master W loop</x:v>
      </x:c>
      <x:c r="E8" s="105" t="str">
        <x:v>axi4_spec_corner_test</x:v>
      </x:c>
      <x:c r="F8" s="105" t="str">
        <x:v>Duplicate-beat mismatch would fail scoreboard</x:v>
      </x:c>
      <x:c r="G8" s="105" t="str">
        <x:v>Corrected</x:v>
      </x:c>
      <x:c r="H8" s="105" t="str">
        <x:v>//Hoang Ho</x:v>
      </x:c>
      <x:c r="I8" s="69" t="str">
        <x:v>Fixes repeated old beat risk</x:v>
      </x:c>
    </x:row>
    <x:row r="9">
      <x:c r="A9" s="68" t="str">
        <x:v>VP-RD-01</x:v>
      </x:c>
      <x:c r="B9" s="105" t="str">
        <x:v>A3.3.1</x:v>
      </x:c>
      <x:c r="C9" s="105" t="str">
        <x:v>RVALID only after a previously accepted AR</x:v>
      </x:c>
      <x:c r="D9" s="105" t="str">
        <x:v>Per-ID outstanding AR/R SVA tracker</x:v>
      </x:c>
      <x:c r="E9" s="105" t="str">
        <x:v>read tests; OOO tests</x:v>
      </x:c>
      <x:c r="F9" s="105" t="str">
        <x:v>Premature RVALID/RID checker</x:v>
      </x:c>
      <x:c r="G9" s="105" t="str">
        <x:v>Corrected</x:v>
      </x:c>
      <x:c r="H9" s="105" t="str">
        <x:v>//Hoang Ho</x:v>
      </x:c>
      <x:c r="I9" s="69" t="str">
        <x:v>Same-cycle AR cannot justify earlier R</x:v>
      </x:c>
    </x:row>
    <x:row r="10">
      <x:c r="A10" s="68" t="str">
        <x:v>VP-BURST-01</x:v>
      </x:c>
      <x:c r="B10" s="105" t="str">
        <x:v>A3.4.1</x:v>
      </x:c>
      <x:c r="C10" s="105" t="str">
        <x:v>FIXED, INCR, WRAP encodings and address progression</x:v>
      </x:c>
      <x:c r="D10" s="105" t="str">
        <x:v>Shared address helpers</x:v>
      </x:c>
      <x:c r="E10" s="105" t="str">
        <x:v>axi4_all_burst_type_test; axi4_spec_corner_test</x:v>
      </x:c>
      <x:c r="F10" s="105" t="str">
        <x:v>Reserved AxBURST assertion</x:v>
      </x:c>
      <x:c r="G10" s="105" t="str">
        <x:v>Corrected</x:v>
      </x:c>
      <x:c r="H10" s="105" t="str">
        <x:v>//Hoang Ho</x:v>
      </x:c>
      <x:c r="I10" s="69" t="str">
        <x:v>Arm aligned-address and wrap-boundary equations</x:v>
      </x:c>
    </x:row>
    <x:row r="11">
      <x:c r="A11" s="68" t="str">
        <x:v>VP-BURST-02</x:v>
      </x:c>
      <x:c r="B11" s="105" t="str">
        <x:v>A3.4.1</x:v>
      </x:c>
      <x:c r="C11" s="105" t="str">
        <x:v>INCR 1-256; FIXED 1-16; WRAP length 2/4/8/16</x:v>
      </x:c>
      <x:c r="D11" s="105" t="str">
        <x:v>Transaction constraints + SVA</x:v>
      </x:c>
      <x:c r="E11" s="105" t="str">
        <x:v>axi4_burst_sweep_test</x:v>
      </x:c>
      <x:c r="F11" s="105" t="str">
        <x:v>Illegal length assertions</x:v>
      </x:c>
      <x:c r="G11" s="105" t="str">
        <x:v>Implemented/improved</x:v>
      </x:c>
      <x:c r="H11" s="105" t="str">
        <x:v>Huy Le + //Hoang Ho</x:v>
      </x:c>
      <x:c r="I11" s="69" t="str">
        <x:v>AxLEN stores beats-1</x:v>
      </x:c>
    </x:row>
    <x:row r="12">
      <x:c r="A12" s="68" t="str">
        <x:v>VP-BURST-03</x:v>
      </x:c>
      <x:c r="B12" s="105" t="str">
        <x:v>A3.4.1</x:v>
      </x:c>
      <x:c r="C12" s="105" t="str">
        <x:v>WRAP start address aligned to transfer size</x:v>
      </x:c>
      <x:c r="D12" s="105" t="str">
        <x:v>Constraint + SVA + helper</x:v>
      </x:c>
      <x:c r="E12" s="105" t="str">
        <x:v>axi4_helper_unit_test; axi4_spec_corner_test</x:v>
      </x:c>
      <x:c r="F12" s="105" t="str">
        <x:v>WRAP alignment assertion</x:v>
      </x:c>
      <x:c r="G12" s="105" t="str">
        <x:v>Corrected</x:v>
      </x:c>
      <x:c r="H12" s="105" t="str">
        <x:v>//Hoang Ho</x:v>
      </x:c>
      <x:c r="I12" s="69" t="str">
        <x:v>Page-edge WRAP vector included</x:v>
      </x:c>
    </x:row>
    <x:row r="13">
      <x:c r="A13" s="68" t="str">
        <x:v>VP-4KB-01</x:v>
      </x:c>
      <x:c r="B13" s="105" t="str">
        <x:v>A3.4.1</x:v>
      </x:c>
      <x:c r="C13" s="105" t="str">
        <x:v>Burst container must remain within one 4KB region</x:v>
      </x:c>
      <x:c r="D13" s="105" t="str">
        <x:v>axi4_burst_crosses_4kb helper + AW/AR SVA</x:v>
      </x:c>
      <x:c r="E13" s="105" t="str">
        <x:v>axi4_4kb_boundary_test; axi4_helper_unit_test</x:v>
      </x:c>
      <x:c r="F13" s="105" t="str">
        <x:v>Illegal INCR vector</x:v>
      </x:c>
      <x:c r="G13" s="105" t="str">
        <x:v>Corrected</x:v>
      </x:c>
      <x:c r="H13" s="105" t="str">
        <x:v>//Hoang Ho</x:v>
      </x:c>
      <x:c r="I13" s="69" t="str">
        <x:v>FIXED/INCR/WRAP handled separately</x:v>
      </x:c>
    </x:row>
    <x:row r="14">
      <x:c r="A14" s="68" t="str">
        <x:v>VP-LANE-01</x:v>
      </x:c>
      <x:c r="B14" s="105" t="str">
        <x:v>A3.4.4</x:v>
      </x:c>
      <x:c r="C14" s="105" t="str">
        <x:v>Narrow transfer selects only legal data-bus byte lanes</x:v>
      </x:c>
      <x:c r="D14" s="105" t="str">
        <x:v>axi4_calc_legal_lane_mask used by model/checkers</x:v>
      </x:c>
      <x:c r="E14" s="105" t="str">
        <x:v>axi4_narrow_burst_test; axi4_spec_corner_test</x:v>
      </x:c>
      <x:c r="F14" s="105" t="str">
        <x:v>Illegal WSTRB checker</x:v>
      </x:c>
      <x:c r="G14" s="105" t="str">
        <x:v>Corrected</x:v>
      </x:c>
      <x:c r="H14" s="105" t="str">
        <x:v>//Hoang Ho</x:v>
      </x:c>
      <x:c r="I14" s="69" t="str">
        <x:v>No modulo wrap inside a beat</x:v>
      </x:c>
    </x:row>
    <x:row r="15">
      <x:c r="A15" s="68" t="str">
        <x:v>VP-LANE-02</x:v>
      </x:c>
      <x:c r="B15" s="105" t="str">
        <x:v>A3.4.4</x:v>
      </x:c>
      <x:c r="C15" s="105" t="str">
        <x:v>Unaligned first beat uses truncated first transfer lanes</x:v>
      </x:c>
      <x:c r="D15" s="105" t="str">
        <x:v>Arm-style first-beat lower/upper lane equations</x:v>
      </x:c>
      <x:c r="E15" s="105" t="str">
        <x:v>axi4_unaligned_test; helper/spec corner tests</x:v>
      </x:c>
      <x:c r="F15" s="105" t="str">
        <x:v>Illegal lane assertion</x:v>
      </x:c>
      <x:c r="G15" s="105" t="str">
        <x:v>Corrected</x:v>
      </x:c>
      <x:c r="H15" s="105" t="str">
        <x:v>//Hoang Ho</x:v>
      </x:c>
      <x:c r="I15" s="69" t="str">
        <x:v>Example ADDR=1 SIZE=4B -&gt; 1110 on 32-bit bus</x:v>
      </x:c>
    </x:row>
    <x:row r="16">
      <x:c r="A16" s="68" t="str">
        <x:v>VP-WSTRB-01</x:v>
      </x:c>
      <x:c r="B16" s="105" t="str">
        <x:v>A3.4.4</x:v>
      </x:c>
      <x:c r="C16" s="105" t="str">
        <x:v>WSTRB may select any subset of legal lanes only</x:v>
      </x:c>
      <x:c r="D16" s="105" t="str">
        <x:v>Constraint + slave + scoreboard + SVA + coverage</x:v>
      </x:c>
      <x:c r="E16" s="105" t="str">
        <x:v>axi4_strobe_test</x:v>
      </x:c>
      <x:c r="F16" s="105" t="str">
        <x:v>Illegal WSTRB reports error and suppresses commit</x:v>
      </x:c>
      <x:c r="G16" s="105" t="str">
        <x:v>Corrected</x:v>
      </x:c>
      <x:c r="H16" s="105" t="str">
        <x:v>//Hoang Ho</x:v>
      </x:c>
      <x:c r="I16" s="69" t="str">
        <x:v>Zero strobe allowed as no-op write beat</x:v>
      </x:c>
    </x:row>
    <x:row r="17">
      <x:c r="A17" s="68" t="str">
        <x:v>VP-LAST-01</x:v>
      </x:c>
      <x:c r="B17" s="105" t="str">
        <x:v>A3.2.2/A3.4.1</x:v>
      </x:c>
      <x:c r="C17" s="105" t="str">
        <x:v>WLAST/RLAST asserted exactly on final transfer</x:v>
      </x:c>
      <x:c r="D17" s="105" t="str">
        <x:v>Driver/monitor checks + SVA beat counters</x:v>
      </x:c>
      <x:c r="E17" s="105" t="str">
        <x:v>axi4_burst_sweep_test; data integrity</x:v>
      </x:c>
      <x:c r="F17" s="105" t="str">
        <x:v>Early/missing LAST SVA lane</x:v>
      </x:c>
      <x:c r="G17" s="105" t="str">
        <x:v>Implemented/improved</x:v>
      </x:c>
      <x:c r="H17" s="105" t="str">
        <x:v>Huy Le + //Hoang Ho</x:v>
      </x:c>
      <x:c r="I17" s="69" t="str">
        <x:v>No early termination</x:v>
      </x:c>
    </x:row>
    <x:row r="18">
      <x:c r="A18" s="68" t="str">
        <x:v>VP-ID-01</x:v>
      </x:c>
      <x:c r="B18" s="105" t="str">
        <x:v>A5</x:v>
      </x:c>
      <x:c r="C18" s="105" t="str">
        <x:v>BID/RID must identify an outstanding request</x:v>
      </x:c>
      <x:c r="D18" s="105" t="str">
        <x:v>Per-ID queues in driver/monitor/SVA/scoreboard</x:v>
      </x:c>
      <x:c r="E18" s="105" t="str">
        <x:v>axi4_outstanding_test</x:v>
      </x:c>
      <x:c r="F18" s="105" t="str">
        <x:v>Unexpected BID/RID checker</x:v>
      </x:c>
      <x:c r="G18" s="105" t="str">
        <x:v>Implemented/improved</x:v>
      </x:c>
      <x:c r="H18" s="105" t="str">
        <x:v>Huy Le + //Hoang Ho</x:v>
      </x:c>
      <x:c r="I18" s="69" t="str">
        <x:v>Multiple outstanding supported</x:v>
      </x:c>
    </x:row>
    <x:row r="19">
      <x:c r="A19" s="68" t="str">
        <x:v>VP-ORD-01</x:v>
      </x:c>
      <x:c r="B19" s="105" t="str">
        <x:v>A5/A6</x:v>
      </x:c>
      <x:c r="C19" s="105" t="str">
        <x:v>Transactions with same ID preserve request order</x:v>
      </x:c>
      <x:c r="D19" s="105" t="str">
        <x:v>FIFO per ID + slave AR sequence counters</x:v>
      </x:c>
      <x:c r="E19" s="105" t="str">
        <x:v>same-ID phase in axi4_spec_corner_test</x:v>
      </x:c>
      <x:c r="F19" s="105" t="str">
        <x:v>Order mismatch is UVM error</x:v>
      </x:c>
      <x:c r="G19" s="105" t="str">
        <x:v>Corrected</x:v>
      </x:c>
      <x:c r="H19" s="105" t="str">
        <x:v>//Hoang Ho</x:v>
      </x:c>
      <x:c r="I19" s="69" t="str">
        <x:v>Applies independently to read/write responses</x:v>
      </x:c>
    </x:row>
    <x:row r="20">
      <x:c r="A20" s="68" t="str">
        <x:v>VP-ORD-02</x:v>
      </x:c>
      <x:c r="B20" s="105" t="str">
        <x:v>A5/A6</x:v>
      </x:c>
      <x:c r="C20" s="105" t="str">
        <x:v>Different IDs may complete out of order</x:v>
      </x:c>
      <x:c r="D20" s="105" t="str">
        <x:v>Optional whole-burst reorder mode</x:v>
      </x:c>
      <x:c r="E20" s="105" t="str">
        <x:v>axi4_out_of_order_test; axi4_ooo_demo_test</x:v>
      </x:c>
      <x:c r="F20" s="105" t="str">
        <x:v>N/A</x:v>
      </x:c>
      <x:c r="G20" s="105" t="str">
        <x:v>Implemented</x:v>
      </x:c>
      <x:c r="H20" s="105" t="str">
        <x:v>Huy Le + //Hoang Ho</x:v>
      </x:c>
      <x:c r="I20" s="69" t="str">
        <x:v>Default-off to preserve simple waveforms</x:v>
      </x:c>
    </x:row>
    <x:row r="21">
      <x:c r="A21" s="68" t="str">
        <x:v>VP-ORD-03</x:v>
      </x:c>
      <x:c r="B21" s="105" t="str">
        <x:v>A5</x:v>
      </x:c>
      <x:c r="C21" s="105" t="str">
        <x:v>Legal cross-ID read beat interleaving is accepted</x:v>
      </x:c>
      <x:c r="D21" s="105" t="str">
        <x:v>Master and monitors dispatch each R beat by RID</x:v>
      </x:c>
      <x:c r="E21" s="105" t="str">
        <x:v>Receiver path exercised by ID-aware tests; generator default non-interleaving</x:v>
      </x:c>
      <x:c r="F21" s="105" t="str">
        <x:v>Old no-interleave assertion removed</x:v>
      </x:c>
      <x:c r="G21" s="105" t="str">
        <x:v>Declared behavior</x:v>
      </x:c>
      <x:c r="H21" s="105" t="str">
        <x:v>//Hoang Ho</x:v>
      </x:c>
      <x:c r="I21" s="69" t="str">
        <x:v>Default slave sends a complete burst contiguously</x:v>
      </x:c>
    </x:row>
    <x:row r="22">
      <x:c r="A22" s="68" t="str">
        <x:v>VP-RESP-01</x:v>
      </x:c>
      <x:c r="B22" s="105" t="str">
        <x:v>A3.4.5</x:v>
      </x:c>
      <x:c r="C22" s="105" t="str">
        <x:v>OKAY, EXOKAY, SLVERR, DECERR encodings</x:v>
      </x:c>
      <x:c r="D22" s="105" t="str">
        <x:v>Slave response policy + monitor + coverage</x:v>
      </x:c>
      <x:c r="E22" s="105" t="str">
        <x:v>axi4_error_response_test; exclusive tests</x:v>
      </x:c>
      <x:c r="F22" s="105" t="str">
        <x:v>Response checker</x:v>
      </x:c>
      <x:c r="G22" s="105" t="str">
        <x:v>Implemented</x:v>
      </x:c>
      <x:c r="H22" s="105" t="str">
        <x:v>Huy Le</x:v>
      </x:c>
      <x:c r="I22" s="69" t="str">
        <x:v>Full modeled burst completes even on error</x:v>
      </x:c>
    </x:row>
    <x:row r="23">
      <x:c r="A23" s="68" t="str">
        <x:v>VP-RESP-02</x:v>
      </x:c>
      <x:c r="B23" s="105" t="str">
        <x:v>A3.4.5/A7</x:v>
      </x:c>
      <x:c r="C23" s="105" t="str">
        <x:v>EXOKAY only for successful exclusive access</x:v>
      </x:c>
      <x:c r="D23" s="105" t="str">
        <x:v>Exclusive outstanding tracker + SVA</x:v>
      </x:c>
      <x:c r="E23" s="105" t="str">
        <x:v>axi4_exclusive_test; axi4_exclusive_fail_test</x:v>
      </x:c>
      <x:c r="F23" s="105" t="str">
        <x:v>axi4_illegal_exclusive_test; non-exclusive EXOKAY assertion</x:v>
      </x:c>
      <x:c r="G23" s="105" t="str">
        <x:v>Implemented/improved</x:v>
      </x:c>
      <x:c r="H23" s="105" t="str">
        <x:v>Huy Le + //Hoang Ho</x:v>
      </x:c>
      <x:c r="I23" s="69" t="str">
        <x:v>Failed exclusive write returns OKAY and does not store</x:v>
      </x:c>
    </x:row>
    <x:row r="24">
      <x:c r="A24" s="68" t="str">
        <x:v>VP-MEM-01</x:v>
      </x:c>
      <x:c r="B24" s="105" t="str">
        <x:v>A3.4.4</x:v>
      </x:c>
      <x:c r="C24" s="105" t="str">
        <x:v>Successful writes update byte memory according to WSTRB</x:v>
      </x:c>
      <x:c r="D24" s="105" t="str">
        <x:v>Slave memory + independent scoreboard reference memory</x:v>
      </x:c>
      <x:c r="E24" s="105" t="str">
        <x:v>axi4_data_integrity_test; axi4_addr_integrity_test</x:v>
      </x:c>
      <x:c r="F24" s="105" t="str">
        <x:v>Error write no-update policy</x:v>
      </x:c>
      <x:c r="G24" s="105" t="str">
        <x:v>Corrected</x:v>
      </x:c>
      <x:c r="H24" s="105" t="str">
        <x:v>//Hoang Ho</x:v>
      </x:c>
      <x:c r="I24" s="69" t="str">
        <x:v>Commit only OKAY normal or EXOKAY exclusive</x:v>
      </x:c>
    </x:row>
    <x:row r="25">
      <x:c r="A25" s="68" t="str">
        <x:v>VP-BP-01</x:v>
      </x:c>
      <x:c r="B25" s="105" t="str">
        <x:v>A3.2</x:v>
      </x:c>
      <x:c r="C25" s="105" t="str">
        <x:v>Request and response backpressure on all five channels</x:v>
      </x:c>
      <x:c r="D25" s="105" t="str">
        <x:v>Delay knobs; BREADY/RREADY controls</x:v>
      </x:c>
      <x:c r="E25" s="105" t="str">
        <x:v>axi4_backpressure_test; axi4_response_backpressure_test</x:v>
      </x:c>
      <x:c r="F25" s="105" t="str">
        <x:v>Stability assertions</x:v>
      </x:c>
      <x:c r="G25" s="105" t="str">
        <x:v>Implemented/improved</x:v>
      </x:c>
      <x:c r="H25" s="105" t="str">
        <x:v>Huy Le + //Hoang Ho</x:v>
      </x:c>
      <x:c r="I25" s="69" t="str">
        <x:v>Known failing seeds retained in spec_smoke</x:v>
      </x:c>
    </x:row>
    <x:row r="26">
      <x:c r="A26" s="68" t="str">
        <x:v>VP-ATTR-01</x:v>
      </x:c>
      <x:c r="B26" s="105" t="str">
        <x:v>A4/A8</x:v>
      </x:c>
      <x:c r="C26" s="105" t="str">
        <x:v>AxCACHE/AxPROT/AxQOS/AxREGION transported and stable</x:v>
      </x:c>
      <x:c r="D26" s="105" t="str">
        <x:v>Transaction, interface, monitor, scoreboard, coverage</x:v>
      </x:c>
      <x:c r="E26" s="105" t="str">
        <x:v>axi4_cache_prot_test</x:v>
      </x:c>
      <x:c r="F26" s="105" t="str">
        <x:v>X/stability checks</x:v>
      </x:c>
      <x:c r="G26" s="105" t="str">
        <x:v>Default/pass-through</x:v>
      </x:c>
      <x:c r="H26" s="105" t="str">
        <x:v>Huy Le</x:v>
      </x:c>
      <x:c r="I26" s="69" t="str">
        <x:v>No cache/security/QoS/region semantics</x:v>
      </x:c>
    </x:row>
    <x:row r="27">
      <x:c r="A27" s="70" t="str">
        <x:v>VP-COV-01</x:v>
      </x:c>
      <x:c r="B27" s="106" t="str">
        <x:v>Verification plan</x:v>
      </x:c>
      <x:c r="C27" s="106" t="str">
        <x:v>Functional closure mapped to tests/assertions/coverage</x:v>
      </x:c>
      <x:c r="D27" s="106" t="str">
        <x:v>axi4_coverage + VPlan + fail-safe Makefile</x:v>
      </x:c>
      <x:c r="E27" s="106" t="str">
        <x:v>Full regression + cov_report</x:v>
      </x:c>
      <x:c r="F27" s="106" t="str">
        <x:v>Unreviewed core misses block sign-off</x:v>
      </x:c>
      <x:c r="G27" s="106" t="str">
        <x:v>Corrected</x:v>
      </x:c>
      <x:c r="H27" s="106" t="str">
        <x:v>//Hoang Ho</x:v>
      </x:c>
      <x:c r="I27" s="71" t="str">
        <x:v>UVM macro code excluded from protocol closure</x:v>
      </x:c>
    </x:row>
  </x:sheetData>
  <x:conditionalFormatting sqref="G2:G27">
    <x:cfRule type="expression" dxfId="0" priority="1">
      <x:formula>G2="Corrected"</x:formula>
    </x:cfRule>
    <x:cfRule type="expression" dxfId="1" priority="2">
      <x:formula>G2="Implemented"</x:formula>
    </x:cfRule>
    <x:cfRule type="expression" dxfId="2" priority="3">
      <x:formula>G2="Implemented/improved"</x:formula>
    </x:cfRule>
    <x:cfRule type="expression" dxfId="3" priority="4">
      <x:formula>OR(G2="Default/pass-through",G2="Declared behavior")</x:formula>
    </x:cfRule>
  </x:conditionalFormatting>
  <x:dataValidations count="1">
    <x:dataValidation type="list" sqref="G2:G27">
      <x:formula1>"Implemented,Corrected,Implemented/improved,Default/pass-through,Declared behavior,Planned"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ebc7653a264ad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12" hidden="0" customWidth="1"/>
    <x:col min="4" max="4" width="20" hidden="0" customWidth="1"/>
    <x:col min="5" max="5" width="36" hidden="0" customWidth="1"/>
    <x:col min="6" max="6" width="42" hidden="0" customWidth="1"/>
    <x:col min="7" max="7" width="24" hidden="0" customWidth="1"/>
  </x:cols>
  <x:sheetData>
    <x:row r="1" ht="34" customHeight="1">
      <x:c r="A1" s="48" t="str">
        <x:v>Test</x:v>
      </x:c>
      <x:c r="B1" s="48" t="str">
        <x:v>Category</x:v>
      </x:c>
      <x:c r="C1" s="48" t="str">
        <x:v>Lane</x:v>
      </x:c>
      <x:c r="D1" s="48" t="str">
        <x:v>Default regression</x:v>
      </x:c>
      <x:c r="E1" s="48" t="str">
        <x:v>Primary purpose</x:v>
      </x:c>
      <x:c r="F1" s="48" t="str">
        <x:v>Key expected result</x:v>
      </x:c>
      <x:c r="G1" s="48" t="str">
        <x:v>Owner / marker</x:v>
      </x:c>
    </x:row>
    <x:row r="2">
      <x:c r="A2" s="66" t="str">
        <x:v>axi4_sanity_test</x:v>
      </x:c>
      <x:c r="B2" s="104" t="str">
        <x:v>Basic</x:v>
      </x:c>
      <x:c r="C2" s="104" t="str">
        <x:v>Positive</x:v>
      </x:c>
      <x:c r="D2" s="104" t="str">
        <x:v>Yes</x:v>
      </x:c>
      <x:c r="E2" s="104" t="str">
        <x:v>Single write/read flow</x:v>
      </x:c>
      <x:c r="F2" s="104" t="str">
        <x:v>Scoreboard match and read-back</x:v>
      </x:c>
      <x:c r="G2" s="67" t="str">
        <x:v>Huy Le</x:v>
      </x:c>
    </x:row>
    <x:row r="3">
      <x:c r="A3" s="68" t="str">
        <x:v>axi4_random_test</x:v>
      </x:c>
      <x:c r="B3" s="105" t="str">
        <x:v>Random</x:v>
      </x:c>
      <x:c r="C3" s="105" t="str">
        <x:v>Positive</x:v>
      </x:c>
      <x:c r="D3" s="105" t="str">
        <x:v>Yes</x:v>
      </x:c>
      <x:c r="E3" s="105" t="str">
        <x:v>Mixed constrained-random traffic</x:v>
      </x:c>
      <x:c r="F3" s="105" t="str">
        <x:v>No mismatch/pending traffic</x:v>
      </x:c>
      <x:c r="G3" s="69" t="str">
        <x:v>Huy Le</x:v>
      </x:c>
    </x:row>
    <x:row r="4">
      <x:c r="A4" s="68" t="str">
        <x:v>axi4_all_burst_type_test</x:v>
      </x:c>
      <x:c r="B4" s="105" t="str">
        <x:v>Burst</x:v>
      </x:c>
      <x:c r="C4" s="105" t="str">
        <x:v>Positive</x:v>
      </x:c>
      <x:c r="D4" s="105" t="str">
        <x:v>Yes</x:v>
      </x:c>
      <x:c r="E4" s="105" t="str">
        <x:v>FIXED/INCR/WRAP</x:v>
      </x:c>
      <x:c r="F4" s="105" t="str">
        <x:v>Correct address progression</x:v>
      </x:c>
      <x:c r="G4" s="69" t="str">
        <x:v>Huy Le</x:v>
      </x:c>
    </x:row>
    <x:row r="5">
      <x:c r="A5" s="68" t="str">
        <x:v>axi4_burst_sweep_test</x:v>
      </x:c>
      <x:c r="B5" s="105" t="str">
        <x:v>Burst</x:v>
      </x:c>
      <x:c r="C5" s="105" t="str">
        <x:v>Positive</x:v>
      </x:c>
      <x:c r="D5" s="105" t="str">
        <x:v>Yes</x:v>
      </x:c>
      <x:c r="E5" s="105" t="str">
        <x:v>Length/size sweep</x:v>
      </x:c>
      <x:c r="F5" s="105" t="str">
        <x:v>Correct beat count and LAST</x:v>
      </x:c>
      <x:c r="G5" s="69" t="str">
        <x:v>Huy Le</x:v>
      </x:c>
    </x:row>
    <x:row r="6">
      <x:c r="A6" s="68" t="str">
        <x:v>axi4_narrow_burst_test</x:v>
      </x:c>
      <x:c r="B6" s="105" t="str">
        <x:v>Lanes</x:v>
      </x:c>
      <x:c r="C6" s="105" t="str">
        <x:v>Positive</x:v>
      </x:c>
      <x:c r="D6" s="105" t="str">
        <x:v>Yes</x:v>
      </x:c>
      <x:c r="E6" s="105" t="str">
        <x:v>Sub-bus-width transfers</x:v>
      </x:c>
      <x:c r="F6" s="105" t="str">
        <x:v>Only legal lanes used</x:v>
      </x:c>
      <x:c r="G6" s="69" t="str">
        <x:v>Huy Le + //Hoang Ho</x:v>
      </x:c>
    </x:row>
    <x:row r="7">
      <x:c r="A7" s="68" t="str">
        <x:v>axi4_unaligned_test</x:v>
      </x:c>
      <x:c r="B7" s="105" t="str">
        <x:v>Lanes</x:v>
      </x:c>
      <x:c r="C7" s="105" t="str">
        <x:v>Positive</x:v>
      </x:c>
      <x:c r="D7" s="105" t="str">
        <x:v>Yes</x:v>
      </x:c>
      <x:c r="E7" s="105" t="str">
        <x:v>Unaligned first transfer</x:v>
      </x:c>
      <x:c r="F7" s="105" t="str">
        <x:v>First beat is truncated, no lane wrap</x:v>
      </x:c>
      <x:c r="G7" s="69" t="str">
        <x:v>Huy Le + //Hoang Ho</x:v>
      </x:c>
    </x:row>
    <x:row r="8">
      <x:c r="A8" s="68" t="str">
        <x:v>axi4_strobe_test</x:v>
      </x:c>
      <x:c r="B8" s="105" t="str">
        <x:v>Lanes</x:v>
      </x:c>
      <x:c r="C8" s="105" t="str">
        <x:v>Positive</x:v>
      </x:c>
      <x:c r="D8" s="105" t="str">
        <x:v>Yes</x:v>
      </x:c>
      <x:c r="E8" s="105" t="str">
        <x:v>Full/partial/sparse/zero WSTRB</x:v>
      </x:c>
      <x:c r="F8" s="105" t="str">
        <x:v>Only strobed legal bytes update</x:v>
      </x:c>
      <x:c r="G8" s="69" t="str">
        <x:v>Huy Le + //Hoang Ho</x:v>
      </x:c>
    </x:row>
    <x:row r="9">
      <x:c r="A9" s="68" t="str">
        <x:v>axi4_4kb_boundary_test</x:v>
      </x:c>
      <x:c r="B9" s="105" t="str">
        <x:v>Boundary</x:v>
      </x:c>
      <x:c r="C9" s="105" t="str">
        <x:v>Positive</x:v>
      </x:c>
      <x:c r="D9" s="105" t="str">
        <x:v>Yes</x:v>
      </x:c>
      <x:c r="E9" s="105" t="str">
        <x:v>Legal page-edge bursts</x:v>
      </x:c>
      <x:c r="F9" s="105" t="str">
        <x:v>No legal transaction rejected</x:v>
      </x:c>
      <x:c r="G9" s="69" t="str">
        <x:v>//Hoang Ho - New file</x:v>
      </x:c>
    </x:row>
    <x:row r="10">
      <x:c r="A10" s="68" t="str">
        <x:v>axi4_helper_unit_test</x:v>
      </x:c>
      <x:c r="B10" s="105" t="str">
        <x:v>Helper</x:v>
      </x:c>
      <x:c r="C10" s="105" t="str">
        <x:v>Positive</x:v>
      </x:c>
      <x:c r="D10" s="105" t="str">
        <x:v>Spec smoke</x:v>
      </x:c>
      <x:c r="E10" s="105" t="str">
        <x:v>Pure helper corner vectors</x:v>
      </x:c>
      <x:c r="F10" s="105" t="str">
        <x:v>Exact masks/addresses/4KB classification</x:v>
      </x:c>
      <x:c r="G10" s="69" t="str">
        <x:v>//Hoang Ho - New file</x:v>
      </x:c>
    </x:row>
    <x:row r="11">
      <x:c r="A11" s="68" t="str">
        <x:v>axi4_spec_corner_test</x:v>
      </x:c>
      <x:c r="B11" s="105" t="str">
        <x:v>Corner</x:v>
      </x:c>
      <x:c r="C11" s="105" t="str">
        <x:v>Positive</x:v>
      </x:c>
      <x:c r="D11" s="105" t="str">
        <x:v>Spec smoke</x:v>
      </x:c>
      <x:c r="E11" s="105" t="str">
        <x:v>Continuous WREADY + lane/wrap/order corners</x:v>
      </x:c>
      <x:c r="F11" s="105" t="str">
        <x:v>No duplicate W beat; exact read-back/order</x:v>
      </x:c>
      <x:c r="G11" s="69" t="str">
        <x:v>//Hoang Ho - New file</x:v>
      </x:c>
    </x:row>
    <x:row r="12">
      <x:c r="A12" s="68" t="str">
        <x:v>axi4_outstanding_test</x:v>
      </x:c>
      <x:c r="B12" s="105" t="str">
        <x:v>ID/order</x:v>
      </x:c>
      <x:c r="C12" s="105" t="str">
        <x:v>Positive</x:v>
      </x:c>
      <x:c r="D12" s="105" t="str">
        <x:v>Yes</x:v>
      </x:c>
      <x:c r="E12" s="105" t="str">
        <x:v>Multiple in-flight transactions</x:v>
      </x:c>
      <x:c r="F12" s="105" t="str">
        <x:v>All complete and match</x:v>
      </x:c>
      <x:c r="G12" s="69" t="str">
        <x:v>Huy Le + //Hoang Ho</x:v>
      </x:c>
    </x:row>
    <x:row r="13">
      <x:c r="A13" s="68" t="str">
        <x:v>axi4_out_of_order_test</x:v>
      </x:c>
      <x:c r="B13" s="105" t="str">
        <x:v>ID/order</x:v>
      </x:c>
      <x:c r="C13" s="105" t="str">
        <x:v>Positive</x:v>
      </x:c>
      <x:c r="D13" s="105" t="str">
        <x:v>Yes</x:v>
      </x:c>
      <x:c r="E13" s="105" t="str">
        <x:v>Different-ID whole-burst OOO</x:v>
      </x:c>
      <x:c r="F13" s="105" t="str">
        <x:v>RID/BID matching permits OOO</x:v>
      </x:c>
      <x:c r="G13" s="69" t="str">
        <x:v>Huy Le + //Hoang Ho</x:v>
      </x:c>
    </x:row>
    <x:row r="14">
      <x:c r="A14" s="68" t="str">
        <x:v>axi4_ooo_demo_test</x:v>
      </x:c>
      <x:c r="B14" s="105" t="str">
        <x:v>ID/order</x:v>
      </x:c>
      <x:c r="C14" s="105" t="str">
        <x:v>Positive</x:v>
      </x:c>
      <x:c r="D14" s="105" t="str">
        <x:v>Yes</x:v>
      </x:c>
      <x:c r="E14" s="105" t="str">
        <x:v>Deterministic OOO waveform</x:v>
      </x:c>
      <x:c r="F14" s="105" t="str">
        <x:v>Completion order differs by ID</x:v>
      </x:c>
      <x:c r="G14" s="69" t="str">
        <x:v>Huy Le</x:v>
      </x:c>
    </x:row>
    <x:row r="15">
      <x:c r="A15" s="68" t="str">
        <x:v>axi4_back_to_back_test</x:v>
      </x:c>
      <x:c r="B15" s="105" t="str">
        <x:v>Timing</x:v>
      </x:c>
      <x:c r="C15" s="105" t="str">
        <x:v>Positive</x:v>
      </x:c>
      <x:c r="D15" s="105" t="str">
        <x:v>Yes</x:v>
      </x:c>
      <x:c r="E15" s="105" t="str">
        <x:v>Adjacent requests</x:v>
      </x:c>
      <x:c r="F15" s="105" t="str">
        <x:v>No artificial bubble requirement</x:v>
      </x:c>
      <x:c r="G15" s="69" t="str">
        <x:v>Huy Le</x:v>
      </x:c>
    </x:row>
    <x:row r="16">
      <x:c r="A16" s="68" t="str">
        <x:v>axi4_backpressure_test</x:v>
      </x:c>
      <x:c r="B16" s="105" t="str">
        <x:v>Timing</x:v>
      </x:c>
      <x:c r="C16" s="105" t="str">
        <x:v>Positive</x:v>
      </x:c>
      <x:c r="D16" s="105" t="str">
        <x:v>Yes</x:v>
      </x:c>
      <x:c r="E16" s="105" t="str">
        <x:v>AWREADY/WREADY/ARREADY stalls</x:v>
      </x:c>
      <x:c r="F16" s="105" t="str">
        <x:v>Payload stable, data intact</x:v>
      </x:c>
      <x:c r="G16" s="69" t="str">
        <x:v>Huy Le</x:v>
      </x:c>
    </x:row>
    <x:row r="17">
      <x:c r="A17" s="68" t="str">
        <x:v>axi4_response_backpressure_test</x:v>
      </x:c>
      <x:c r="B17" s="105" t="str">
        <x:v>Timing</x:v>
      </x:c>
      <x:c r="C17" s="105" t="str">
        <x:v>Positive</x:v>
      </x:c>
      <x:c r="D17" s="105" t="str">
        <x:v>Yes + spec smoke</x:v>
      </x:c>
      <x:c r="E17" s="105" t="str">
        <x:v>BREADY/RREADY stalls</x:v>
      </x:c>
      <x:c r="F17" s="105" t="str">
        <x:v>15 writes + 15 reads, 30 matches</x:v>
      </x:c>
      <x:c r="G17" s="69" t="str">
        <x:v>Huy Le + //Hoang Ho</x:v>
      </x:c>
    </x:row>
    <x:row r="18">
      <x:c r="A18" s="68" t="str">
        <x:v>axi4_wr_order_demo_test</x:v>
      </x:c>
      <x:c r="B18" s="105" t="str">
        <x:v>Write ordering</x:v>
      </x:c>
      <x:c r="C18" s="105" t="str">
        <x:v>Positive</x:v>
      </x:c>
      <x:c r="D18" s="105" t="str">
        <x:v>Yes</x:v>
      </x:c>
      <x:c r="E18" s="105" t="str">
        <x:v>AW-before-W/W-before-AW/parallel</x:v>
      </x:c>
      <x:c r="F18" s="105" t="str">
        <x:v>All three legal modes complete</x:v>
      </x:c>
      <x:c r="G18" s="69" t="str">
        <x:v>Huy Le</x:v>
      </x:c>
    </x:row>
    <x:row r="19">
      <x:c r="A19" s="68" t="str">
        <x:v>axi4_wlast_before_aw_test</x:v>
      </x:c>
      <x:c r="B19" s="105" t="str">
        <x:v>Write ordering</x:v>
      </x:c>
      <x:c r="C19" s="105" t="str">
        <x:v>Positive</x:v>
      </x:c>
      <x:c r="D19" s="105" t="str">
        <x:v>Yes</x:v>
      </x:c>
      <x:c r="E19" s="105" t="str">
        <x:v>Leading W burst</x:v>
      </x:c>
      <x:c r="F19" s="105" t="str">
        <x:v>Subordinate buffers until AW</x:v>
      </x:c>
      <x:c r="G19" s="69" t="str">
        <x:v>Huy Le</x:v>
      </x:c>
    </x:row>
    <x:row r="20">
      <x:c r="A20" s="68" t="str">
        <x:v>axi4_error_response_test</x:v>
      </x:c>
      <x:c r="B20" s="105" t="str">
        <x:v>Response</x:v>
      </x:c>
      <x:c r="C20" s="105" t="str">
        <x:v>Positive</x:v>
      </x:c>
      <x:c r="D20" s="105" t="str">
        <x:v>Yes</x:v>
      </x:c>
      <x:c r="E20" s="105" t="str">
        <x:v>SLVERR/DECERR</x:v>
      </x:c>
      <x:c r="F20" s="105" t="str">
        <x:v>Full completion; failed write no commit</x:v>
      </x:c>
      <x:c r="G20" s="69" t="str">
        <x:v>Huy Le + //Hoang Ho</x:v>
      </x:c>
    </x:row>
    <x:row r="21">
      <x:c r="A21" s="68" t="str">
        <x:v>axi4_exclusive_test</x:v>
      </x:c>
      <x:c r="B21" s="105" t="str">
        <x:v>Exclusive</x:v>
      </x:c>
      <x:c r="C21" s="105" t="str">
        <x:v>Positive</x:v>
      </x:c>
      <x:c r="D21" s="105" t="str">
        <x:v>Yes</x:v>
      </x:c>
      <x:c r="E21" s="105" t="str">
        <x:v>Exclusive success</x:v>
      </x:c>
      <x:c r="F21" s="105" t="str">
        <x:v>EXOKAY and memory update</x:v>
      </x:c>
      <x:c r="G21" s="69" t="str">
        <x:v>Huy Le + //Hoang Ho</x:v>
      </x:c>
    </x:row>
    <x:row r="22">
      <x:c r="A22" s="68" t="str">
        <x:v>axi4_exclusive_fail_test</x:v>
      </x:c>
      <x:c r="B22" s="105" t="str">
        <x:v>Exclusive</x:v>
      </x:c>
      <x:c r="C22" s="105" t="str">
        <x:v>Positive</x:v>
      </x:c>
      <x:c r="D22" s="105" t="str">
        <x:v>Yes</x:v>
      </x:c>
      <x:c r="E22" s="105" t="str">
        <x:v>Reservation invalidation</x:v>
      </x:c>
      <x:c r="F22" s="105" t="str">
        <x:v>OKAY failure and no update</x:v>
      </x:c>
      <x:c r="G22" s="69" t="str">
        <x:v>Huy Le + //Hoang Ho</x:v>
      </x:c>
    </x:row>
    <x:row r="23">
      <x:c r="A23" s="68" t="str">
        <x:v>axi4_illegal_exclusive_test</x:v>
      </x:c>
      <x:c r="B23" s="105" t="str">
        <x:v>Exclusive</x:v>
      </x:c>
      <x:c r="C23" s="105" t="str">
        <x:v>Negative</x:v>
      </x:c>
      <x:c r="D23" s="105" t="str">
        <x:v>Separate</x:v>
      </x:c>
      <x:c r="E23" s="105" t="str">
        <x:v>Illegal exclusive attributes</x:v>
      </x:c>
      <x:c r="F23" s="105" t="str">
        <x:v>Expected checker/error only</x:v>
      </x:c>
      <x:c r="G23" s="69" t="str">
        <x:v>Huy Le + //Hoang Ho</x:v>
      </x:c>
    </x:row>
    <x:row r="24">
      <x:c r="A24" s="68" t="str">
        <x:v>axi4_cache_prot_test</x:v>
      </x:c>
      <x:c r="B24" s="105" t="str">
        <x:v>Attributes</x:v>
      </x:c>
      <x:c r="C24" s="105" t="str">
        <x:v>Positive</x:v>
      </x:c>
      <x:c r="D24" s="105" t="str">
        <x:v>Yes</x:v>
      </x:c>
      <x:c r="E24" s="105" t="str">
        <x:v>Optional attribute transport</x:v>
      </x:c>
      <x:c r="F24" s="105" t="str">
        <x:v>Stable/pass-through/coverage</x:v>
      </x:c>
      <x:c r="G24" s="69" t="str">
        <x:v>Huy Le</x:v>
      </x:c>
    </x:row>
    <x:row r="25">
      <x:c r="A25" s="68" t="str">
        <x:v>axi4_reset_mid_burst_test</x:v>
      </x:c>
      <x:c r="B25" s="105" t="str">
        <x:v>Reset</x:v>
      </x:c>
      <x:c r="C25" s="105" t="str">
        <x:v>Positive</x:v>
      </x:c>
      <x:c r="D25" s="105" t="str">
        <x:v>Yes</x:v>
      </x:c>
      <x:c r="E25" s="105" t="str">
        <x:v>Reset during traffic</x:v>
      </x:c>
      <x:c r="F25" s="105" t="str">
        <x:v>VALID clear; queues flush</x:v>
      </x:c>
      <x:c r="G25" s="69" t="str">
        <x:v>Huy Le + //Hoang Ho</x:v>
      </x:c>
    </x:row>
    <x:row r="26">
      <x:c r="A26" s="68" t="str">
        <x:v>axi4_data_integrity_test</x:v>
      </x:c>
      <x:c r="B26" s="105" t="str">
        <x:v>Integrity</x:v>
      </x:c>
      <x:c r="C26" s="105" t="str">
        <x:v>Positive</x:v>
      </x:c>
      <x:c r="D26" s="105" t="str">
        <x:v>Yes</x:v>
      </x:c>
      <x:c r="E26" s="105" t="str">
        <x:v>Known write/read data</x:v>
      </x:c>
      <x:c r="F26" s="105" t="str">
        <x:v>Byte-exact reference memory</x:v>
      </x:c>
      <x:c r="G26" s="69" t="str">
        <x:v>Huy Le + //Hoang Ho</x:v>
      </x:c>
    </x:row>
    <x:row r="27">
      <x:c r="A27" s="68" t="str">
        <x:v>axi4_addr_integrity_test</x:v>
      </x:c>
      <x:c r="B27" s="105" t="str">
        <x:v>Integrity</x:v>
      </x:c>
      <x:c r="C27" s="105" t="str">
        <x:v>Positive</x:v>
      </x:c>
      <x:c r="D27" s="105" t="str">
        <x:v>Yes</x:v>
      </x:c>
      <x:c r="E27" s="105" t="str">
        <x:v>Known address/data map</x:v>
      </x:c>
      <x:c r="F27" s="105" t="str">
        <x:v>Correct address-to-data relation</x:v>
      </x:c>
      <x:c r="G27" s="69" t="str">
        <x:v>Huy Le + //Hoang Ho</x:v>
      </x:c>
    </x:row>
    <x:row r="28">
      <x:c r="A28" s="68" t="str">
        <x:v>axi4_exclusive_demo_test</x:v>
      </x:c>
      <x:c r="B28" s="105" t="str">
        <x:v>Exclusive</x:v>
      </x:c>
      <x:c r="C28" s="105" t="str">
        <x:v>Positive</x:v>
      </x:c>
      <x:c r="D28" s="105" t="str">
        <x:v>Yes</x:v>
      </x:c>
      <x:c r="E28" s="105" t="str">
        <x:v>Deterministic exclusive waveform</x:v>
      </x:c>
      <x:c r="F28" s="105" t="str">
        <x:v>Successful read/write pair</x:v>
      </x:c>
      <x:c r="G28" s="69" t="str">
        <x:v>Huy Le</x:v>
      </x:c>
    </x:row>
    <x:row r="29">
      <x:c r="A29" s="70" t="str">
        <x:v>sva_unit</x:v>
      </x:c>
      <x:c r="B29" s="106" t="str">
        <x:v>SVA</x:v>
      </x:c>
      <x:c r="C29" s="106" t="str">
        <x:v>Negative</x:v>
      </x:c>
      <x:c r="D29" s="106" t="str">
        <x:v>Separate</x:v>
      </x:c>
      <x:c r="E29" s="106" t="str">
        <x:v>Intentional protocol violations</x:v>
      </x:c>
      <x:c r="F29" s="106" t="str">
        <x:v>Only expected assertions fire</x:v>
      </x:c>
      <x:c r="G29" s="71" t="str">
        <x:v>Huy Le + //Hoang Ho</x:v>
      </x:c>
    </x:row>
  </x:sheetData>
  <x:conditionalFormatting sqref="C2:C29">
    <x:cfRule type="expression" dxfId="4" priority="1">
      <x:formula>C2="Negative"</x:formula>
    </x:cfRule>
  </x:conditionalFormatting>
  <x:dataValidations count="2">
    <x:dataValidation type="list" sqref="C2:C29">
      <x:formula1>"Positive,Negative"</x:formula1>
    </x:dataValidation>
    <x:dataValidation type="list" sqref="D2:D29">
      <x:formula1>"Yes,Spec smoke,Yes + spec smoke,Separate"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b81e1f603241b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34" hidden="0" customWidth="1"/>
    <x:col min="3" max="3" width="50" hidden="0" customWidth="1"/>
    <x:col min="4" max="4" width="24" hidden="0" customWidth="1"/>
    <x:col min="5" max="5" width="42" hidden="0" customWidth="1"/>
  </x:cols>
  <x:sheetData>
    <x:row r="1" ht="34" customHeight="1">
      <x:c r="A1" s="48" t="str">
        <x:v>File / area</x:v>
      </x:c>
      <x:c r="B1" s="48" t="str">
        <x:v>Huy Le baseline</x:v>
      </x:c>
      <x:c r="C1" s="48" t="str">
        <x:v>Hoang Ho contribution</x:v>
      </x:c>
      <x:c r="D1" s="48" t="str">
        <x:v>Marker</x:v>
      </x:c>
      <x:c r="E1" s="48" t="str">
        <x:v>Compatibility / rationale</x:v>
      </x:c>
    </x:row>
    <x:row r="2">
      <x:c r="A2" s="66" t="str">
        <x:v>src/cfg/axi4_types.sv</x:v>
      </x:c>
      <x:c r="B2" s="104" t="str">
        <x:v>Protocol enums/parameters</x:v>
      </x:c>
      <x:c r="C2" s="104" t="str">
        <x:v>Shared Arm address, lane, and 4KB helper functions</x:v>
      </x:c>
      <x:c r="D2" s="104" t="str">
        <x:v>//Hoang Ho</x:v>
      </x:c>
      <x:c r="E2" s="67" t="str">
        <x:v>One source of truth used by model/checkers</x:v>
      </x:c>
    </x:row>
    <x:row r="3">
      <x:c r="A3" s="68" t="str">
        <x:v>src/cfg/axi4_transaction.sv</x:v>
      </x:c>
      <x:c r="B3" s="105" t="str">
        <x:v>Transaction fields/constraints</x:v>
      </x:c>
      <x:c r="C3" s="105" t="str">
        <x:v>Exact constraints, legal WSTRB subset, persistent completion state</x:v>
      </x:c>
      <x:c r="D3" s="105" t="str">
        <x:v>//Hoang Ho</x:v>
      </x:c>
      <x:c r="E3" s="69" t="str">
        <x:v>Public class/API preserved</x:v>
      </x:c>
    </x:row>
    <x:row r="4">
      <x:c r="A4" s="68" t="str">
        <x:v>src/mst/axi4_master_driver.sv</x:v>
      </x:c>
      <x:c r="B4" s="105" t="str">
        <x:v>AW/W/AR drive and B/R receive</x:v>
      </x:c>
      <x:c r="C4" s="105" t="str">
        <x:v>Continuous-WREADY-safe W loop; RID-based R collection</x:v>
      </x:c>
      <x:c r="D4" s="105" t="str">
        <x:v>//Hoang Ho</x:v>
      </x:c>
      <x:c r="E4" s="69" t="str">
        <x:v>Old timing modes retained</x:v>
      </x:c>
    </x:row>
    <x:row r="5">
      <x:c r="A5" s="68" t="str">
        <x:v>src/slv/axi4_slave_driver.sv</x:v>
      </x:c>
      <x:c r="B5" s="105" t="str">
        <x:v>Reactive memory subordinate</x:v>
      </x:c>
      <x:c r="C5" s="105" t="str">
        <x:v>Correct lanes, same-ID order, WSTRB/error/exclusive improvements, default-off reorder knobs</x:v>
      </x:c>
      <x:c r="D5" s="105" t="str">
        <x:v>//Hoang Ho</x:v>
      </x:c>
      <x:c r="E5" s="69" t="str">
        <x:v>Default waveform behavior preserved</x:v>
      </x:c>
    </x:row>
    <x:row r="6">
      <x:c r="A6" s="68" t="str">
        <x:v>src/mst/axi4_master_monitor.sv</x:v>
      </x:c>
      <x:c r="B6" s="105" t="str">
        <x:v>Bus reconstruction</x:v>
      </x:c>
      <x:c r="C6" s="105" t="str">
        <x:v>Per-RID read reconstruction and pending-state errors</x:v>
      </x:c>
      <x:c r="D6" s="105" t="str">
        <x:v>//Hoang Ho</x:v>
      </x:c>
      <x:c r="E6" s="69" t="str">
        <x:v>Monitor remains bus-only</x:v>
      </x:c>
    </x:row>
    <x:row r="7">
      <x:c r="A7" s="68" t="str">
        <x:v>src/slv/axi4_slave_monitor.sv</x:v>
      </x:c>
      <x:c r="B7" s="105" t="str">
        <x:v>Bus reconstruction</x:v>
      </x:c>
      <x:c r="C7" s="105" t="str">
        <x:v>Per-RID read reconstruction and stronger completion checks</x:v>
      </x:c>
      <x:c r="D7" s="105" t="str">
        <x:v>//Hoang Ho</x:v>
      </x:c>
      <x:c r="E7" s="69" t="str">
        <x:v>Monitor remains bus-only</x:v>
      </x:c>
    </x:row>
    <x:row r="8">
      <x:c r="A8" s="68" t="str">
        <x:v>src/env/axi4_scoreboard.sv</x:v>
      </x:c>
      <x:c r="B8" s="105" t="str">
        <x:v>Transaction match/reference memory</x:v>
      </x:c>
      <x:c r="C8" s="105" t="str">
        <x:v>Stronger key, legal lanes, response-aware commit, pending errors</x:v>
      </x:c>
      <x:c r="D8" s="105" t="str">
        <x:v>//Hoang Ho</x:v>
      </x:c>
      <x:c r="E8" s="69" t="str">
        <x:v>Completed-transaction memory policy declared</x:v>
      </x:c>
    </x:row>
    <x:row r="9">
      <x:c r="A9" s="68" t="str">
        <x:v>src/env/axi4_coverage.sv</x:v>
      </x:c>
      <x:c r="B9" s="105" t="str">
        <x:v>Functional coverage</x:v>
      </x:c>
      <x:c r="C9" s="105" t="str">
        <x:v>Exact helper use and added lane/boundary cases</x:v>
      </x:c>
      <x:c r="D9" s="105" t="str">
        <x:v>//Hoang Ho</x:v>
      </x:c>
      <x:c r="E9" s="69" t="str">
        <x:v>Existing covergroups retained</x:v>
      </x:c>
    </x:row>
    <x:row r="10">
      <x:c r="A10" s="68" t="str">
        <x:v>src/sva/axi4_sva.sv</x:v>
      </x:c>
      <x:c r="B10" s="105" t="str">
        <x:v>Protocol assertions</x:v>
      </x:c>
      <x:c r="C10" s="105" t="str">
        <x:v>Correct stall, boundary, WSTRB, EXOKAY, ID/dependency checks; removed false no-interleave rule</x:v>
      </x:c>
      <x:c r="D10" s="105" t="str">
        <x:v>//Hoang Ho</x:v>
      </x:c>
      <x:c r="E10" s="69" t="str">
        <x:v>Core mandatory rules prioritized</x:v>
      </x:c>
    </x:row>
    <x:row r="11">
      <x:c r="A11" s="68" t="str">
        <x:v>src/cfg/axi4_agent_config.sv</x:v>
      </x:c>
      <x:c r="B11" s="105" t="str">
        <x:v>Timing/agent config</x:v>
      </x:c>
      <x:c r="C11" s="105" t="str">
        <x:v>Default-off WREADY-always-high and read reorder knobs</x:v>
      </x:c>
      <x:c r="D11" s="105" t="str">
        <x:v>//Hoang Ho</x:v>
      </x:c>
      <x:c r="E11" s="69" t="str">
        <x:v>No original behavior change unless enabled</x:v>
      </x:c>
    </x:row>
    <x:row r="12">
      <x:c r="A12" s="68" t="str">
        <x:v>src/seq/axi4_spec_corner_seq.sv</x:v>
      </x:c>
      <x:c r="B12" s="105" t="str">
        <x:v>No original file</x:v>
      </x:c>
      <x:c r="C12" s="105" t="str">
        <x:v>Directed Arm corner sequence</x:v>
      </x:c>
      <x:c r="D12" s="105" t="str">
        <x:v>//Hoang Ho - New file</x:v>
      </x:c>
      <x:c r="E12" s="69" t="str">
        <x:v>Added include only</x:v>
      </x:c>
    </x:row>
    <x:row r="13">
      <x:c r="A13" s="68" t="str">
        <x:v>src/test/axi4_helper_unit_test.sv</x:v>
      </x:c>
      <x:c r="B13" s="105" t="str">
        <x:v>No original file</x:v>
      </x:c>
      <x:c r="C13" s="105" t="str">
        <x:v>Pure helper equation unit test</x:v>
      </x:c>
      <x:c r="D13" s="105" t="str">
        <x:v>//Hoang Ho - New file</x:v>
      </x:c>
      <x:c r="E13" s="69" t="str">
        <x:v>Fast deterministic gate</x:v>
      </x:c>
    </x:row>
    <x:row r="14">
      <x:c r="A14" s="68" t="str">
        <x:v>src/test/axi4_spec_corner_test.sv</x:v>
      </x:c>
      <x:c r="B14" s="105" t="str">
        <x:v>No original file</x:v>
      </x:c>
      <x:c r="C14" s="105" t="str">
        <x:v>Bus-level corner test</x:v>
      </x:c>
      <x:c r="D14" s="105" t="str">
        <x:v>//Hoang Ho - New file</x:v>
      </x:c>
      <x:c r="E14" s="69" t="str">
        <x:v>Fast deterministic gate</x:v>
      </x:c>
    </x:row>
    <x:row r="15">
      <x:c r="A15" s="68" t="str">
        <x:v>src/seq/axi4_4kb_boundary_seq.sv</x:v>
      </x:c>
      <x:c r="B15" s="105" t="str">
        <x:v>No original file</x:v>
      </x:c>
      <x:c r="C15" s="105" t="str">
        <x:v>Legal/edge 4KB vectors</x:v>
      </x:c>
      <x:c r="D15" s="105" t="str">
        <x:v>//Hoang Ho - New file</x:v>
      </x:c>
      <x:c r="E15" s="69" t="str">
        <x:v>Adds coverage without replacing old tests</x:v>
      </x:c>
    </x:row>
    <x:row r="16">
      <x:c r="A16" s="68" t="str">
        <x:v>src/test/axi4_4kb_boundary_test.sv</x:v>
      </x:c>
      <x:c r="B16" s="105" t="str">
        <x:v>No original file</x:v>
      </x:c>
      <x:c r="C16" s="105" t="str">
        <x:v>4KB focused test</x:v>
      </x:c>
      <x:c r="D16" s="105" t="str">
        <x:v>//Hoang Ho - New file</x:v>
      </x:c>
      <x:c r="E16" s="69" t="str">
        <x:v>Added to positive regression</x:v>
      </x:c>
    </x:row>
    <x:row r="17">
      <x:c r="A17" s="68" t="str">
        <x:v>src/test/axi4_response_backpressure_test.sv</x:v>
      </x:c>
      <x:c r="B17" s="105" t="str">
        <x:v>Original response BP concept</x:v>
      </x:c>
      <x:c r="C17" s="105" t="str">
        <x:v>Separated write/read phases and deterministic drain</x:v>
      </x:c>
      <x:c r="D17" s="105" t="str">
        <x:v>//Hoang Ho</x:v>
      </x:c>
      <x:c r="E17" s="69" t="str">
        <x:v>Fixes false memory-timing failure</x:v>
      </x:c>
    </x:row>
    <x:row r="18">
      <x:c r="A18" s="68" t="str">
        <x:v>sim/Makefile</x:v>
      </x:c>
      <x:c r="B18" s="105" t="str">
        <x:v>Compile/run/regress/coverage targets</x:v>
      </x:c>
      <x:c r="C18" s="105" t="str">
        <x:v>spec_smoke, reliable exit status, clean merge/report</x:v>
      </x:c>
      <x:c r="D18" s="105" t="str">
        <x:v># Hoang Ho</x:v>
      </x:c>
      <x:c r="E18" s="69" t="str">
        <x:v>Old make targets remain</x:v>
      </x:c>
    </x:row>
    <x:row r="19">
      <x:c r="A19" s="70" t="str">
        <x:v>doc/* and README.md</x:v>
      </x:c>
      <x:c r="B19" s="106" t="str">
        <x:v>Basic project documentation</x:v>
      </x:c>
      <x:c r="C19" s="106" t="str">
        <x:v>Functional profile, traceability, ownership, comparison, contribution workflow</x:v>
      </x:c>
      <x:c r="D19" s="106" t="str">
        <x:v>Hoang Ho docs</x:v>
      </x:c>
      <x:c r="E19" s="71" t="str">
        <x:v>No code API impact</x:v>
      </x:c>
    </x:row>
  </x:sheetData>
  <x:pageMargins left="0.7" right="0.7" top="0.75" bottom="0.75" header="0.3" footer="0.3"/>
  <x:tableParts count="1">
    <x:tablePart xmlns:r="http://schemas.openxmlformats.org/officeDocument/2006/relationships" r:id="Rc905bcf326c9400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46" hidden="0" customWidth="1"/>
    <x:col min="5" max="5" width="38" hidden="0" customWidth="1"/>
    <x:col min="6" max="6" width="38" hidden="0" customWidth="1"/>
  </x:cols>
  <x:sheetData>
    <x:row r="1" ht="34" customHeight="1">
      <x:c r="A1" s="48" t="str">
        <x:v>Item</x:v>
      </x:c>
      <x:c r="B1" s="48" t="str">
        <x:v>Profile status</x:v>
      </x:c>
      <x:c r="C1" s="48" t="str">
        <x:v>Default</x:v>
      </x:c>
      <x:c r="D1" s="48" t="str">
        <x:v>Reason / boundary</x:v>
      </x:c>
      <x:c r="E1" s="48" t="str">
        <x:v>Verification treatment</x:v>
      </x:c>
      <x:c r="F1" s="48" t="str">
        <x:v>Sign-off note</x:v>
      </x:c>
    </x:row>
    <x:row r="2">
      <x:c r="A2" s="66" t="str">
        <x:v>USER signals</x:v>
      </x:c>
      <x:c r="B2" s="104" t="str">
        <x:v>Out of scope</x:v>
      </x:c>
      <x:c r="C2" s="104" t="str">
        <x:v>Absent</x:v>
      </x:c>
      <x:c r="D2" s="104" t="str">
        <x:v>Optional user-defined signaling is not needed for learning memory VIP</x:v>
      </x:c>
      <x:c r="E2" s="104" t="str">
        <x:v>Not instantiated; documented</x:v>
      </x:c>
      <x:c r="F2" s="67" t="str">
        <x:v>Do not claim USER support</x:v>
      </x:c>
    </x:row>
    <x:row r="3">
      <x:c r="A3" s="68" t="str">
        <x:v>ACE/coherency/AXI5/AXI-Stream</x:v>
      </x:c>
      <x:c r="B3" s="105" t="str">
        <x:v>Out of scope</x:v>
      </x:c>
      <x:c r="C3" s="105" t="str">
        <x:v>Absent</x:v>
      </x:c>
      <x:c r="D3" s="105" t="str">
        <x:v>Different protocol families/features</x:v>
      </x:c>
      <x:c r="E3" s="105" t="str">
        <x:v>Excluded from VPlan</x:v>
      </x:c>
      <x:c r="F3" s="69" t="str">
        <x:v>AXI4 Full memory-mapped only</x:v>
      </x:c>
    </x:row>
    <x:row r="4">
      <x:c r="A4" s="68" t="str">
        <x:v>AxCACHE semantics</x:v>
      </x:c>
      <x:c r="B4" s="105" t="str">
        <x:v>Default/pass-through</x:v>
      </x:c>
      <x:c r="C4" s="105" t="str">
        <x:v>Transported</x:v>
      </x:c>
      <x:c r="D4" s="105" t="str">
        <x:v>No cache hierarchy/interconnect model</x:v>
      </x:c>
      <x:c r="E4" s="105" t="str">
        <x:v>Stable, compared, and covered</x:v>
      </x:c>
      <x:c r="F4" s="69" t="str">
        <x:v>No allocation/merge semantics</x:v>
      </x:c>
    </x:row>
    <x:row r="5">
      <x:c r="A5" s="68" t="str">
        <x:v>AxPROT semantics</x:v>
      </x:c>
      <x:c r="B5" s="105" t="str">
        <x:v>Default/pass-through</x:v>
      </x:c>
      <x:c r="C5" s="105" t="str">
        <x:v>Transported</x:v>
      </x:c>
      <x:c r="D5" s="105" t="str">
        <x:v>No security/permission map</x:v>
      </x:c>
      <x:c r="E5" s="105" t="str">
        <x:v>Stable, compared, and covered</x:v>
      </x:c>
      <x:c r="F5" s="69" t="str">
        <x:v>No access-control claim</x:v>
      </x:c>
    </x:row>
    <x:row r="6">
      <x:c r="A6" s="68" t="str">
        <x:v>AxQOS semantics</x:v>
      </x:c>
      <x:c r="B6" s="105" t="str">
        <x:v>Default/pass-through</x:v>
      </x:c>
      <x:c r="C6" s="105" t="str">
        <x:v>0 / transported</x:v>
      </x:c>
      <x:c r="D6" s="105" t="str">
        <x:v>No arbitration fabric</x:v>
      </x:c>
      <x:c r="E6" s="105" t="str">
        <x:v>Stable, compared, and covered</x:v>
      </x:c>
      <x:c r="F6" s="69" t="str">
        <x:v>No priority guarantee</x:v>
      </x:c>
    </x:row>
    <x:row r="7">
      <x:c r="A7" s="68" t="str">
        <x:v>AxREGION semantics</x:v>
      </x:c>
      <x:c r="B7" s="105" t="str">
        <x:v>Default/pass-through</x:v>
      </x:c>
      <x:c r="C7" s="105" t="str">
        <x:v>0 / transported</x:v>
      </x:c>
      <x:c r="D7" s="105" t="str">
        <x:v>No multi-region decoder</x:v>
      </x:c>
      <x:c r="E7" s="105" t="str">
        <x:v>Stable, compared, and covered</x:v>
      </x:c>
      <x:c r="F7" s="69" t="str">
        <x:v>No region-routing claim</x:v>
      </x:c>
    </x:row>
    <x:row r="8">
      <x:c r="A8" s="68" t="str">
        <x:v>Beat-level read interleaving generation</x:v>
      </x:c>
      <x:c r="B8" s="105" t="str">
        <x:v>Declared behavior</x:v>
      </x:c>
      <x:c r="C8" s="105" t="str">
        <x:v>Disabled</x:v>
      </x:c>
      <x:c r="D8" s="105" t="str">
        <x:v>Default subordinate emits a complete burst for simple waveforms</x:v>
      </x:c>
      <x:c r="E8" s="105" t="str">
        <x:v>Master/monitors accept RID-interleaved beats</x:v>
      </x:c>
      <x:c r="F8" s="69" t="str">
        <x:v>Legal capability not generated by default</x:v>
      </x:c>
    </x:row>
    <x:row r="9">
      <x:c r="A9" s="68" t="str">
        <x:v>Mixed-endian conversion</x:v>
      </x:c>
      <x:c r="B9" s="105" t="str">
        <x:v>Out of scope</x:v>
      </x:c>
      <x:c r="C9" s="105" t="str">
        <x:v>Little-endian byte placement</x:v>
      </x:c>
      <x:c r="D9" s="105" t="str">
        <x:v>No endian conversion block</x:v>
      </x:c>
      <x:c r="E9" s="105" t="str">
        <x:v>Byte lanes checked consistently</x:v>
      </x:c>
      <x:c r="F9" s="69" t="str">
        <x:v>Do not claim big-endian conversion</x:v>
      </x:c>
    </x:row>
    <x:row r="10">
      <x:c r="A10" s="68" t="str">
        <x:v>Same-address concurrent read/write ordering</x:v>
      </x:c>
      <x:c r="B10" s="105" t="str">
        <x:v>Simplified</x:v>
      </x:c>
      <x:c r="C10" s="105" t="str">
        <x:v>Tests serialize conflicts</x:v>
      </x:c>
      <x:c r="D10" s="105" t="str">
        <x:v>AXI alone does not define a universal memory-system visibility policy</x:v>
      </x:c>
      <x:c r="E10" s="105" t="str">
        <x:v>Scoreboard uses completed-transaction policy</x:v>
      </x:c>
      <x:c r="F10" s="69" t="str">
        <x:v>Declare policy in tests</x:v>
      </x:c>
    </x:row>
    <x:row r="11">
      <x:c r="A11" s="70" t="str">
        <x:v>Commercial compliance certification</x:v>
      </x:c>
      <x:c r="B11" s="106" t="str">
        <x:v>Out of scope</x:v>
      </x:c>
      <x:c r="C11" s="106" t="str">
        <x:v>N/A</x:v>
      </x:c>
      <x:c r="D11" s="106" t="str">
        <x:v>Learning VIP-to-VIP project</x:v>
      </x:c>
      <x:c r="E11" s="106" t="str">
        <x:v>Functional regression and traceability only</x:v>
      </x:c>
      <x:c r="F11" s="71" t="str">
        <x:v>No commercial sign-off claim</x:v>
      </x:c>
    </x:row>
  </x:sheetData>
  <x:pageMargins left="0.7" right="0.7" top="0.75" bottom="0.75" header="0.3" footer="0.3"/>
  <x:tableParts count="1">
    <x:tablePart xmlns:r="http://schemas.openxmlformats.org/officeDocument/2006/relationships" r:id="Re5f398bbbaa64d79"/>
  </x:tableParts>
</x:worksheet>
</file>